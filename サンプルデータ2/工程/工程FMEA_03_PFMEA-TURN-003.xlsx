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FMEA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是正処置追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color rgb="005D4037"/>
      <sz val="8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000000"/>
      <sz val="7"/>
    </font>
    <font>
      <name val="Arial"/>
      <b val="1"/>
      <color rgb="00FFFFFF"/>
      <sz val="10"/>
    </font>
    <font>
      <name val="Arial"/>
      <color rgb="00000000"/>
      <sz val="8"/>
    </font>
  </fonts>
  <fills count="17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FFF8E1"/>
      </patternFill>
    </fill>
    <fill>
      <patternFill patternType="solid">
        <fgColor rgb="004A148C"/>
      </patternFill>
    </fill>
    <fill>
      <patternFill patternType="solid">
        <fgColor rgb="001A3A5C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16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7" customWidth="1" min="7" max="7"/>
    <col width="16" customWidth="1" min="8" max="8"/>
    <col width="7" customWidth="1" min="9" max="9"/>
    <col width="7" customWidth="1" min="10" max="10"/>
    <col width="16" customWidth="1" min="11" max="11"/>
    <col width="14" customWidth="1" min="12" max="12"/>
    <col width="7" customWidth="1" min="13" max="13"/>
    <col width="18" customWidth="1" min="14" max="14"/>
    <col width="10" customWidth="1" min="15" max="15"/>
    <col width="10" customWidth="1" min="16" max="16"/>
    <col width="8" customWidth="1" min="17" max="17"/>
    <col width="5" customWidth="1" min="18" max="18"/>
    <col width="5" customWidth="1" min="19" max="19"/>
    <col width="5" customWidth="1" min="20" max="20"/>
    <col width="7" customWidth="1" min="21" max="21"/>
  </cols>
  <sheetData>
    <row r="1" ht="30" customHeight="1">
      <c r="A1" s="1" t="inlineStr">
        <is>
          <t>工程FMEA　旋盤・研削工程 FMEA</t>
        </is>
      </c>
    </row>
    <row r="2" ht="18" customHeight="1">
      <c r="A2" s="2" t="inlineStr">
        <is>
          <t>製品名</t>
        </is>
      </c>
      <c r="D2" s="3" t="inlineStr">
        <is>
          <t>シャフトカップリング XS500-CPL-003</t>
        </is>
      </c>
      <c r="J2" s="2" t="inlineStr">
        <is>
          <t>文書番号</t>
        </is>
      </c>
      <c r="M2" s="3" t="inlineStr">
        <is>
          <t>PFMEA-TURN-003</t>
        </is>
      </c>
    </row>
    <row r="3" ht="18" customHeight="1">
      <c r="A3" s="2" t="inlineStr">
        <is>
          <t>部署</t>
        </is>
      </c>
      <c r="D3" s="3" t="inlineStr">
        <is>
          <t>製造部 旋盤ライン</t>
        </is>
      </c>
      <c r="J3" s="2" t="inlineStr">
        <is>
          <t>版数</t>
        </is>
      </c>
      <c r="M3" s="3" t="inlineStr">
        <is>
          <t>A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J4" s="2" t="inlineStr">
        <is>
          <t>承認者</t>
        </is>
      </c>
      <c r="M4" s="3" t="inlineStr">
        <is>
          <t>佐藤 部長</t>
        </is>
      </c>
    </row>
    <row r="5" ht="18" customHeight="1">
      <c r="A5" s="2" t="inlineStr">
        <is>
          <t>対象規格</t>
        </is>
      </c>
      <c r="D5" s="3" t="inlineStr">
        <is>
          <t>IATF 16949 / AIAG-VDA FMEA 2019年版</t>
        </is>
      </c>
      <c r="J5" s="2" t="inlineStr">
        <is>
          <t>次回見直し</t>
        </is>
      </c>
      <c r="M5" s="3" t="inlineStr">
        <is>
          <t>2025-10-01</t>
        </is>
      </c>
    </row>
    <row r="6" ht="6" customHeight="1"/>
    <row r="7" ht="16" customHeight="1">
      <c r="A7" s="4" t="inlineStr">
        <is>
          <t>RPN判定基準: ■≥200 高リスク・即時対策必須  ■100〜199 中リスク・優先対策  ■50〜99 低リスク・計画対策  ■&lt;50 許容範囲</t>
        </is>
      </c>
    </row>
    <row r="8" ht="26" customHeight="1">
      <c r="A8" s="5" t="inlineStr">
        <is>
          <t>工程情報</t>
        </is>
      </c>
      <c r="D8" s="6" t="inlineStr">
        <is>
          <t>機能要求
・故障モード</t>
        </is>
      </c>
      <c r="G8" s="7" t="inlineStr">
        <is>
          <t>現状評価</t>
        </is>
      </c>
      <c r="K8" s="8" t="inlineStr">
        <is>
          <t>現行管理</t>
        </is>
      </c>
      <c r="N8" s="9" t="inlineStr">
        <is>
          <t>是正処置</t>
        </is>
      </c>
      <c r="R8" s="10" t="inlineStr">
        <is>
          <t>処置後評価</t>
        </is>
      </c>
    </row>
    <row r="9" ht="36" customHeight="1">
      <c r="A9" s="11" t="inlineStr">
        <is>
          <t>工程
No.</t>
        </is>
      </c>
      <c r="B9" s="11" t="inlineStr">
        <is>
          <t>工程名</t>
        </is>
      </c>
      <c r="C9" s="11" t="inlineStr">
        <is>
          <t>機能
要求</t>
        </is>
      </c>
      <c r="D9" s="12" t="inlineStr">
        <is>
          <t>故障
モード</t>
        </is>
      </c>
      <c r="E9" s="12" t="inlineStr">
        <is>
          <t>影響
(最終)</t>
        </is>
      </c>
      <c r="F9" s="12" t="inlineStr">
        <is>
          <t>影響
(上位)</t>
        </is>
      </c>
      <c r="G9" s="13" t="inlineStr">
        <is>
          <t>重篤度
S</t>
        </is>
      </c>
      <c r="H9" s="13" t="inlineStr">
        <is>
          <t>原因</t>
        </is>
      </c>
      <c r="I9" s="13" t="inlineStr">
        <is>
          <t>発生頻度
O</t>
        </is>
      </c>
      <c r="J9" s="13" t="inlineStr">
        <is>
          <t>検出度
D</t>
        </is>
      </c>
      <c r="K9" s="14" t="inlineStr">
        <is>
          <t>現行予防
管理</t>
        </is>
      </c>
      <c r="L9" s="14" t="inlineStr">
        <is>
          <t>現行検出
管理</t>
        </is>
      </c>
      <c r="M9" s="14" t="inlineStr">
        <is>
          <t>RPN</t>
        </is>
      </c>
      <c r="N9" s="15" t="inlineStr">
        <is>
          <t>推奨
処置</t>
        </is>
      </c>
      <c r="O9" s="15" t="inlineStr">
        <is>
          <t>担当</t>
        </is>
      </c>
      <c r="P9" s="15" t="inlineStr">
        <is>
          <t>期限</t>
        </is>
      </c>
      <c r="Q9" s="15" t="inlineStr">
        <is>
          <t>完了
確認</t>
        </is>
      </c>
      <c r="R9" s="16" t="inlineStr">
        <is>
          <t>S</t>
        </is>
      </c>
      <c r="S9" s="16" t="inlineStr">
        <is>
          <t>O</t>
        </is>
      </c>
      <c r="T9" s="16" t="inlineStr">
        <is>
          <t>D</t>
        </is>
      </c>
      <c r="U9" s="16" t="inlineStr">
        <is>
          <t>新RPN</t>
        </is>
      </c>
    </row>
    <row r="10" ht="40" customHeight="1">
      <c r="A10" s="17" t="inlineStr">
        <is>
          <t>20</t>
        </is>
      </c>
      <c r="B10" s="18" t="inlineStr">
        <is>
          <t>荒旋削</t>
        </is>
      </c>
      <c r="C10" s="18" t="inlineStr">
        <is>
          <t>取代確保</t>
        </is>
      </c>
      <c r="D10" s="18" t="inlineStr">
        <is>
          <t>取代過多</t>
        </is>
      </c>
      <c r="E10" s="18" t="inlineStr">
        <is>
          <t>仕上時間過大・工具負荷増</t>
        </is>
      </c>
      <c r="F10" s="17" t="inlineStr">
        <is>
          <t>−</t>
        </is>
      </c>
      <c r="G10" s="17" t="inlineStr">
        <is>
          <t>6</t>
        </is>
      </c>
      <c r="H10" s="18" t="inlineStr">
        <is>
          <t>プログラムミス</t>
        </is>
      </c>
      <c r="I10" s="17" t="inlineStr">
        <is>
          <t>2</t>
        </is>
      </c>
      <c r="J10" s="17" t="inlineStr">
        <is>
          <t>3</t>
        </is>
      </c>
      <c r="K10" s="18" t="inlineStr">
        <is>
          <t>初品確認</t>
        </is>
      </c>
      <c r="L10" s="18" t="inlineStr">
        <is>
          <t>初品確認</t>
        </is>
      </c>
      <c r="M10" s="19" t="inlineStr">
        <is>
          <t>36</t>
        </is>
      </c>
      <c r="N10" s="18" t="inlineStr">
        <is>
          <t>プログラムチェック強化</t>
        </is>
      </c>
      <c r="O10" s="17" t="inlineStr">
        <is>
          <t>製造部</t>
        </is>
      </c>
      <c r="P10" s="17" t="inlineStr">
        <is>
          <t>2025-04</t>
        </is>
      </c>
      <c r="Q10" s="17" t="inlineStr">
        <is>
          <t>□</t>
        </is>
      </c>
      <c r="R10" s="17" t="inlineStr">
        <is>
          <t>6</t>
        </is>
      </c>
      <c r="S10" s="17" t="inlineStr">
        <is>
          <t>1</t>
        </is>
      </c>
      <c r="T10" s="17" t="inlineStr">
        <is>
          <t>2</t>
        </is>
      </c>
      <c r="U10" s="19" t="inlineStr">
        <is>
          <t>12</t>
        </is>
      </c>
    </row>
    <row r="11" ht="40" customHeight="1">
      <c r="A11" s="20" t="inlineStr">
        <is>
          <t>30</t>
        </is>
      </c>
      <c r="B11" s="21" t="inlineStr">
        <is>
          <t>仕上旋削</t>
        </is>
      </c>
      <c r="C11" s="21" t="inlineStr">
        <is>
          <t>外径h6精度</t>
        </is>
      </c>
      <c r="D11" s="21" t="inlineStr">
        <is>
          <t>外径オーバーサイズ</t>
        </is>
      </c>
      <c r="E11" s="21" t="inlineStr">
        <is>
          <t>嵌合不能</t>
        </is>
      </c>
      <c r="F11" s="20" t="inlineStr">
        <is>
          <t>−</t>
        </is>
      </c>
      <c r="G11" s="22" t="inlineStr">
        <is>
          <t>9</t>
        </is>
      </c>
      <c r="H11" s="21" t="inlineStr">
        <is>
          <t>工具摩耗</t>
        </is>
      </c>
      <c r="I11" s="20" t="inlineStr">
        <is>
          <t>3</t>
        </is>
      </c>
      <c r="J11" s="20" t="inlineStr">
        <is>
          <t>2</t>
        </is>
      </c>
      <c r="K11" s="21" t="inlineStr">
        <is>
          <t>マイクロ全数</t>
        </is>
      </c>
      <c r="L11" s="21" t="inlineStr">
        <is>
          <t>マイクロ全数</t>
        </is>
      </c>
      <c r="M11" s="23" t="inlineStr">
        <is>
          <t>54</t>
        </is>
      </c>
      <c r="N11" s="21" t="inlineStr">
        <is>
          <t>インプロセス計測導入</t>
        </is>
      </c>
      <c r="O11" s="20" t="inlineStr">
        <is>
          <t>製造部</t>
        </is>
      </c>
      <c r="P11" s="20" t="inlineStr">
        <is>
          <t>2025-05</t>
        </is>
      </c>
      <c r="Q11" s="20" t="inlineStr">
        <is>
          <t>□</t>
        </is>
      </c>
      <c r="R11" s="22" t="inlineStr">
        <is>
          <t>9</t>
        </is>
      </c>
      <c r="S11" s="20" t="inlineStr">
        <is>
          <t>2</t>
        </is>
      </c>
      <c r="T11" s="20" t="inlineStr">
        <is>
          <t>1</t>
        </is>
      </c>
      <c r="U11" s="19" t="inlineStr">
        <is>
          <t>18</t>
        </is>
      </c>
    </row>
    <row r="12" ht="40" customHeight="1">
      <c r="A12" s="17" t="inlineStr">
        <is>
          <t>30</t>
        </is>
      </c>
      <c r="B12" s="18" t="inlineStr">
        <is>
          <t>仕上旋削</t>
        </is>
      </c>
      <c r="C12" s="18" t="inlineStr">
        <is>
          <t>面粗さRa0.8</t>
        </is>
      </c>
      <c r="D12" s="18" t="inlineStr">
        <is>
          <t>面粗さ不良</t>
        </is>
      </c>
      <c r="E12" s="18" t="inlineStr">
        <is>
          <t>軸受嵌合不良</t>
        </is>
      </c>
      <c r="F12" s="17" t="inlineStr">
        <is>
          <t>−</t>
        </is>
      </c>
      <c r="G12" s="24" t="inlineStr">
        <is>
          <t>8</t>
        </is>
      </c>
      <c r="H12" s="18" t="inlineStr">
        <is>
          <t>チップ摩耗</t>
        </is>
      </c>
      <c r="I12" s="17" t="inlineStr">
        <is>
          <t>4</t>
        </is>
      </c>
      <c r="J12" s="17" t="inlineStr">
        <is>
          <t>3</t>
        </is>
      </c>
      <c r="K12" s="18" t="inlineStr">
        <is>
          <t>粗さ計抜取</t>
        </is>
      </c>
      <c r="L12" s="18" t="inlineStr">
        <is>
          <t>粗さ計抜取</t>
        </is>
      </c>
      <c r="M12" s="23" t="inlineStr">
        <is>
          <t>96</t>
        </is>
      </c>
      <c r="N12" s="18" t="inlineStr">
        <is>
          <t>チップ寿命管理</t>
        </is>
      </c>
      <c r="O12" s="17" t="inlineStr">
        <is>
          <t>製造部</t>
        </is>
      </c>
      <c r="P12" s="17" t="inlineStr">
        <is>
          <t>2025-04</t>
        </is>
      </c>
      <c r="Q12" s="17" t="inlineStr">
        <is>
          <t>□</t>
        </is>
      </c>
      <c r="R12" s="24" t="inlineStr">
        <is>
          <t>8</t>
        </is>
      </c>
      <c r="S12" s="17" t="inlineStr">
        <is>
          <t>2</t>
        </is>
      </c>
      <c r="T12" s="17" t="inlineStr">
        <is>
          <t>2</t>
        </is>
      </c>
      <c r="U12" s="19" t="inlineStr">
        <is>
          <t>32</t>
        </is>
      </c>
    </row>
    <row r="13" ht="40" customHeight="1">
      <c r="A13" s="20" t="inlineStr">
        <is>
          <t>40</t>
        </is>
      </c>
      <c r="B13" s="21" t="inlineStr">
        <is>
          <t>キー溝加工</t>
        </is>
      </c>
      <c r="C13" s="21" t="inlineStr">
        <is>
          <t>幅公差</t>
        </is>
      </c>
      <c r="D13" s="21" t="inlineStr">
        <is>
          <t>幅オーバー</t>
        </is>
      </c>
      <c r="E13" s="21" t="inlineStr">
        <is>
          <t>キー嵌合ガタ</t>
        </is>
      </c>
      <c r="F13" s="20" t="inlineStr">
        <is>
          <t>−</t>
        </is>
      </c>
      <c r="G13" s="24" t="inlineStr">
        <is>
          <t>8</t>
        </is>
      </c>
      <c r="H13" s="21" t="inlineStr">
        <is>
          <t>エンドミル摩耗</t>
        </is>
      </c>
      <c r="I13" s="20" t="inlineStr">
        <is>
          <t>3</t>
        </is>
      </c>
      <c r="J13" s="20" t="inlineStr">
        <is>
          <t>2</t>
        </is>
      </c>
      <c r="K13" s="21" t="inlineStr">
        <is>
          <t>ゲージ全数</t>
        </is>
      </c>
      <c r="L13" s="21" t="inlineStr">
        <is>
          <t>ゲージ全数</t>
        </is>
      </c>
      <c r="M13" s="19" t="inlineStr">
        <is>
          <t>48</t>
        </is>
      </c>
      <c r="N13" s="21" t="inlineStr">
        <is>
          <t>工具交換基準厳格化</t>
        </is>
      </c>
      <c r="O13" s="20" t="inlineStr">
        <is>
          <t>製造部</t>
        </is>
      </c>
      <c r="P13" s="20" t="inlineStr">
        <is>
          <t>2025-04</t>
        </is>
      </c>
      <c r="Q13" s="20" t="inlineStr">
        <is>
          <t>□</t>
        </is>
      </c>
      <c r="R13" s="24" t="inlineStr">
        <is>
          <t>8</t>
        </is>
      </c>
      <c r="S13" s="20" t="inlineStr">
        <is>
          <t>2</t>
        </is>
      </c>
      <c r="T13" s="20" t="inlineStr">
        <is>
          <t>1</t>
        </is>
      </c>
      <c r="U13" s="19" t="inlineStr">
        <is>
          <t>16</t>
        </is>
      </c>
    </row>
    <row r="14" ht="40" customHeight="1">
      <c r="A14" s="17" t="inlineStr">
        <is>
          <t>50</t>
        </is>
      </c>
      <c r="B14" s="18" t="inlineStr">
        <is>
          <t>研削</t>
        </is>
      </c>
      <c r="C14" s="18" t="inlineStr">
        <is>
          <t>外径精度</t>
        </is>
      </c>
      <c r="D14" s="18" t="inlineStr">
        <is>
          <t>寸法外れ</t>
        </is>
      </c>
      <c r="E14" s="18" t="inlineStr">
        <is>
          <t>嵌合不能</t>
        </is>
      </c>
      <c r="F14" s="17" t="inlineStr">
        <is>
          <t>−</t>
        </is>
      </c>
      <c r="G14" s="22" t="inlineStr">
        <is>
          <t>9</t>
        </is>
      </c>
      <c r="H14" s="18" t="inlineStr">
        <is>
          <t>砥石目詰まり</t>
        </is>
      </c>
      <c r="I14" s="17" t="inlineStr">
        <is>
          <t>3</t>
        </is>
      </c>
      <c r="J14" s="17" t="inlineStr">
        <is>
          <t>1</t>
        </is>
      </c>
      <c r="K14" s="18" t="inlineStr">
        <is>
          <t>エアゲージ全数</t>
        </is>
      </c>
      <c r="L14" s="18" t="inlineStr">
        <is>
          <t>エアゲージ全数</t>
        </is>
      </c>
      <c r="M14" s="19" t="inlineStr">
        <is>
          <t>27</t>
        </is>
      </c>
      <c r="N14" s="18" t="inlineStr">
        <is>
          <t>ドレスサイクル短縮</t>
        </is>
      </c>
      <c r="O14" s="17" t="inlineStr">
        <is>
          <t>製造部</t>
        </is>
      </c>
      <c r="P14" s="17" t="inlineStr">
        <is>
          <t>2025-04</t>
        </is>
      </c>
      <c r="Q14" s="17" t="inlineStr">
        <is>
          <t>□</t>
        </is>
      </c>
      <c r="R14" s="22" t="inlineStr">
        <is>
          <t>9</t>
        </is>
      </c>
      <c r="S14" s="17" t="inlineStr">
        <is>
          <t>2</t>
        </is>
      </c>
      <c r="T14" s="17" t="inlineStr">
        <is>
          <t>1</t>
        </is>
      </c>
      <c r="U14" s="19" t="inlineStr">
        <is>
          <t>18</t>
        </is>
      </c>
    </row>
    <row r="15" ht="40" customHeight="1">
      <c r="A15" s="20" t="inlineStr">
        <is>
          <t>50</t>
        </is>
      </c>
      <c r="B15" s="21" t="inlineStr">
        <is>
          <t>研削</t>
        </is>
      </c>
      <c r="C15" s="21" t="inlineStr">
        <is>
          <t>面粗さ</t>
        </is>
      </c>
      <c r="D15" s="21" t="inlineStr">
        <is>
          <t>面粗さ不良</t>
        </is>
      </c>
      <c r="E15" s="21" t="inlineStr">
        <is>
          <t>軸受寿命低下</t>
        </is>
      </c>
      <c r="F15" s="20" t="inlineStr">
        <is>
          <t>−</t>
        </is>
      </c>
      <c r="G15" s="24" t="inlineStr">
        <is>
          <t>8</t>
        </is>
      </c>
      <c r="H15" s="21" t="inlineStr">
        <is>
          <t>砥石摩耗</t>
        </is>
      </c>
      <c r="I15" s="20" t="inlineStr">
        <is>
          <t>3</t>
        </is>
      </c>
      <c r="J15" s="20" t="inlineStr">
        <is>
          <t>2</t>
        </is>
      </c>
      <c r="K15" s="21" t="inlineStr">
        <is>
          <t>粗さ計抜取</t>
        </is>
      </c>
      <c r="L15" s="21" t="inlineStr">
        <is>
          <t>粗さ計抜取</t>
        </is>
      </c>
      <c r="M15" s="19" t="inlineStr">
        <is>
          <t>48</t>
        </is>
      </c>
      <c r="N15" s="21" t="inlineStr">
        <is>
          <t>砥石管理強化</t>
        </is>
      </c>
      <c r="O15" s="20" t="inlineStr">
        <is>
          <t>製造部</t>
        </is>
      </c>
      <c r="P15" s="20" t="inlineStr">
        <is>
          <t>2025-04</t>
        </is>
      </c>
      <c r="Q15" s="20" t="inlineStr">
        <is>
          <t>□</t>
        </is>
      </c>
      <c r="R15" s="24" t="inlineStr">
        <is>
          <t>8</t>
        </is>
      </c>
      <c r="S15" s="20" t="inlineStr">
        <is>
          <t>2</t>
        </is>
      </c>
      <c r="T15" s="20" t="inlineStr">
        <is>
          <t>1</t>
        </is>
      </c>
      <c r="U15" s="19" t="inlineStr">
        <is>
          <t>16</t>
        </is>
      </c>
    </row>
    <row r="16" ht="40" customHeight="1">
      <c r="A16" s="17" t="inlineStr">
        <is>
          <t>60</t>
        </is>
      </c>
      <c r="B16" s="18" t="inlineStr">
        <is>
          <t>バランス試験</t>
        </is>
      </c>
      <c r="C16" s="18" t="inlineStr">
        <is>
          <t>G6.3以下</t>
        </is>
      </c>
      <c r="D16" s="18" t="inlineStr">
        <is>
          <t>アンバランス超</t>
        </is>
      </c>
      <c r="E16" s="18" t="inlineStr">
        <is>
          <t>振動・騒音増大</t>
        </is>
      </c>
      <c r="F16" s="17" t="inlineStr">
        <is>
          <t>−</t>
        </is>
      </c>
      <c r="G16" s="24" t="inlineStr">
        <is>
          <t>8</t>
        </is>
      </c>
      <c r="H16" s="18" t="inlineStr">
        <is>
          <t>加工精度ばらつき</t>
        </is>
      </c>
      <c r="I16" s="17" t="inlineStr">
        <is>
          <t>2</t>
        </is>
      </c>
      <c r="J16" s="17" t="inlineStr">
        <is>
          <t>1</t>
        </is>
      </c>
      <c r="K16" s="18" t="inlineStr">
        <is>
          <t>全数バランス試験</t>
        </is>
      </c>
      <c r="L16" s="18" t="inlineStr">
        <is>
          <t>全数バランス試験</t>
        </is>
      </c>
      <c r="M16" s="19" t="inlineStr">
        <is>
          <t>16</t>
        </is>
      </c>
      <c r="N16" s="18" t="inlineStr">
        <is>
          <t>加工精度管理</t>
        </is>
      </c>
      <c r="O16" s="17" t="inlineStr">
        <is>
          <t>品証部</t>
        </is>
      </c>
      <c r="P16" s="17" t="inlineStr">
        <is>
          <t>2025-04</t>
        </is>
      </c>
      <c r="Q16" s="17" t="inlineStr">
        <is>
          <t>□</t>
        </is>
      </c>
      <c r="R16" s="24" t="inlineStr">
        <is>
          <t>8</t>
        </is>
      </c>
      <c r="S16" s="17" t="inlineStr">
        <is>
          <t>1</t>
        </is>
      </c>
      <c r="T16" s="17" t="inlineStr">
        <is>
          <t>1</t>
        </is>
      </c>
      <c r="U16" s="19" t="inlineStr">
        <is>
          <t>8</t>
        </is>
      </c>
    </row>
    <row r="17" ht="40" customHeight="1">
      <c r="A17" s="20" t="inlineStr">
        <is>
          <t>80</t>
        </is>
      </c>
      <c r="B17" s="21" t="inlineStr">
        <is>
          <t>防錆処理</t>
        </is>
      </c>
      <c r="C17" s="21" t="inlineStr">
        <is>
          <t>防錆保証</t>
        </is>
      </c>
      <c r="D17" s="21" t="inlineStr">
        <is>
          <t>防錆不足</t>
        </is>
      </c>
      <c r="E17" s="21" t="inlineStr">
        <is>
          <t>錆発生・顧客クレーム</t>
        </is>
      </c>
      <c r="F17" s="20" t="inlineStr">
        <is>
          <t>−</t>
        </is>
      </c>
      <c r="G17" s="20" t="inlineStr">
        <is>
          <t>6</t>
        </is>
      </c>
      <c r="H17" s="21" t="inlineStr">
        <is>
          <t>塗布ムラ</t>
        </is>
      </c>
      <c r="I17" s="20" t="inlineStr">
        <is>
          <t>3</t>
        </is>
      </c>
      <c r="J17" s="20" t="inlineStr">
        <is>
          <t>3</t>
        </is>
      </c>
      <c r="K17" s="21" t="inlineStr">
        <is>
          <t>目視確認</t>
        </is>
      </c>
      <c r="L17" s="21" t="inlineStr">
        <is>
          <t>目視確認</t>
        </is>
      </c>
      <c r="M17" s="23" t="inlineStr">
        <is>
          <t>54</t>
        </is>
      </c>
      <c r="N17" s="21" t="inlineStr">
        <is>
          <t>塗布量管理強化</t>
        </is>
      </c>
      <c r="O17" s="20" t="inlineStr">
        <is>
          <t>製造部</t>
        </is>
      </c>
      <c r="P17" s="20" t="inlineStr">
        <is>
          <t>2025-05</t>
        </is>
      </c>
      <c r="Q17" s="20" t="inlineStr">
        <is>
          <t>□</t>
        </is>
      </c>
      <c r="R17" s="20" t="inlineStr">
        <is>
          <t>6</t>
        </is>
      </c>
      <c r="S17" s="20" t="inlineStr">
        <is>
          <t>2</t>
        </is>
      </c>
      <c r="T17" s="20" t="inlineStr">
        <is>
          <t>3</t>
        </is>
      </c>
      <c r="U17" s="19" t="inlineStr">
        <is>
          <t>36</t>
        </is>
      </c>
    </row>
    <row r="18" ht="20" customHeight="1">
      <c r="A18" s="6">
        <f>COUNTIF(M10:M17,"&gt;=200")&amp;"件 高リスク / "&amp;COUNTIF(M10:M17,"&gt;=100")&amp;"件 中リスク以上"</f>
        <v/>
      </c>
      <c r="G18" s="8">
        <f>COUNTIF(M10:M17,"&lt;50")&amp;"件 許容範囲 / 合計 8 項目"</f>
        <v/>
      </c>
    </row>
  </sheetData>
  <mergeCells count="26">
    <mergeCell ref="M2:R2"/>
    <mergeCell ref="D2:I2"/>
    <mergeCell ref="A7:R7"/>
    <mergeCell ref="G18:L18"/>
    <mergeCell ref="A3:C3"/>
    <mergeCell ref="J4:L4"/>
    <mergeCell ref="A18:F18"/>
    <mergeCell ref="A2:C2"/>
    <mergeCell ref="K8:M8"/>
    <mergeCell ref="A5:C5"/>
    <mergeCell ref="R8:U8"/>
    <mergeCell ref="D4:I4"/>
    <mergeCell ref="A8:C8"/>
    <mergeCell ref="M3:R3"/>
    <mergeCell ref="D3:I3"/>
    <mergeCell ref="A4:C4"/>
    <mergeCell ref="D8:F8"/>
    <mergeCell ref="J3:L3"/>
    <mergeCell ref="J2:L2"/>
    <mergeCell ref="G8:J8"/>
    <mergeCell ref="D5:I5"/>
    <mergeCell ref="M4:R4"/>
    <mergeCell ref="J5:L5"/>
    <mergeCell ref="N8:Q8"/>
    <mergeCell ref="M5:R5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45" customWidth="1" min="5" max="5"/>
  </cols>
  <sheetData>
    <row r="1" ht="30" customHeight="1">
      <c r="A1" s="1" t="inlineStr">
        <is>
          <t>改訂履歴</t>
        </is>
      </c>
    </row>
    <row r="2">
      <c r="A2" s="25" t="inlineStr">
        <is>
          <t>版数</t>
        </is>
      </c>
      <c r="B2" s="25" t="inlineStr">
        <is>
          <t>改訂日</t>
        </is>
      </c>
      <c r="C2" s="25" t="inlineStr">
        <is>
          <t>改訂者</t>
        </is>
      </c>
      <c r="D2" s="25" t="inlineStr">
        <is>
          <t>承認者</t>
        </is>
      </c>
      <c r="E2" s="25" t="inlineStr">
        <is>
          <t>改訂内容</t>
        </is>
      </c>
    </row>
    <row r="3" ht="20" customHeight="1">
      <c r="A3" s="26" t="inlineStr">
        <is>
          <t>A</t>
        </is>
      </c>
      <c r="B3" s="26" t="inlineStr">
        <is>
          <t>2025-03-01</t>
        </is>
      </c>
      <c r="C3" s="26" t="inlineStr">
        <is>
          <t>山田 一郎</t>
        </is>
      </c>
      <c r="D3" s="26" t="inlineStr">
        <is>
          <t>鈴木 部長</t>
        </is>
      </c>
      <c r="E3" s="3" t="inlineStr">
        <is>
          <t>初版発行</t>
        </is>
      </c>
    </row>
    <row r="4" ht="20" customHeight="1">
      <c r="A4" s="27" t="inlineStr">
        <is>
          <t>A</t>
        </is>
      </c>
      <c r="B4" s="27" t="inlineStr">
        <is>
          <t>2025-04-01</t>
        </is>
      </c>
      <c r="C4" s="27" t="inlineStr">
        <is>
          <t>山田 一郎</t>
        </is>
      </c>
      <c r="D4" s="27" t="inlineStr">
        <is>
          <t>佐藤 部長</t>
        </is>
      </c>
      <c r="E4" s="28" t="inlineStr">
        <is>
          <t>最新版発行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30" customHeight="1">
      <c r="A1" s="29" t="inlineStr">
        <is>
          <t>是正処置 追跡管理</t>
        </is>
      </c>
    </row>
    <row r="2">
      <c r="A2" s="9" t="inlineStr">
        <is>
          <t>No.</t>
        </is>
      </c>
      <c r="B2" s="9" t="inlineStr">
        <is>
          <t>工程名</t>
        </is>
      </c>
      <c r="C2" s="9" t="inlineStr">
        <is>
          <t>推奨処置</t>
        </is>
      </c>
      <c r="D2" s="9" t="inlineStr">
        <is>
          <t>担当</t>
        </is>
      </c>
      <c r="E2" s="9" t="inlineStr">
        <is>
          <t>期限</t>
        </is>
      </c>
      <c r="F2" s="9" t="inlineStr">
        <is>
          <t>ステータス</t>
        </is>
      </c>
      <c r="G2" s="9" t="inlineStr">
        <is>
          <t>完了日</t>
        </is>
      </c>
      <c r="H2" s="9" t="inlineStr">
        <is>
          <t>効果確認</t>
        </is>
      </c>
    </row>
    <row r="3" ht="20" customHeight="1">
      <c r="A3" s="30" t="inlineStr">
        <is>
          <t>1</t>
        </is>
      </c>
      <c r="B3" s="31" t="inlineStr">
        <is>
          <t>荒旋削</t>
        </is>
      </c>
      <c r="C3" s="31" t="inlineStr">
        <is>
          <t>プログラムチェック強化</t>
        </is>
      </c>
      <c r="D3" s="30" t="inlineStr">
        <is>
          <t>製造部</t>
        </is>
      </c>
      <c r="E3" s="30" t="inlineStr">
        <is>
          <t>2025-04</t>
        </is>
      </c>
      <c r="F3" s="32" t="inlineStr">
        <is>
          <t>進行中</t>
        </is>
      </c>
      <c r="G3" s="30" t="inlineStr"/>
      <c r="H3" s="31" t="inlineStr"/>
    </row>
    <row r="4" ht="20" customHeight="1">
      <c r="A4" s="33" t="inlineStr">
        <is>
          <t>2</t>
        </is>
      </c>
      <c r="B4" s="34" t="inlineStr">
        <is>
          <t>仕上旋削</t>
        </is>
      </c>
      <c r="C4" s="34" t="inlineStr">
        <is>
          <t>インプロセス計測導入</t>
        </is>
      </c>
      <c r="D4" s="33" t="inlineStr">
        <is>
          <t>製造部</t>
        </is>
      </c>
      <c r="E4" s="33" t="inlineStr">
        <is>
          <t>2025-05</t>
        </is>
      </c>
      <c r="F4" s="32" t="inlineStr">
        <is>
          <t>進行中</t>
        </is>
      </c>
      <c r="G4" s="33" t="inlineStr"/>
      <c r="H4" s="34" t="inlineStr"/>
    </row>
    <row r="5" ht="20" customHeight="1">
      <c r="A5" s="30" t="inlineStr">
        <is>
          <t>3</t>
        </is>
      </c>
      <c r="B5" s="31" t="inlineStr">
        <is>
          <t>仕上旋削</t>
        </is>
      </c>
      <c r="C5" s="31" t="inlineStr">
        <is>
          <t>チップ寿命管理</t>
        </is>
      </c>
      <c r="D5" s="30" t="inlineStr">
        <is>
          <t>製造部</t>
        </is>
      </c>
      <c r="E5" s="30" t="inlineStr">
        <is>
          <t>2025-04</t>
        </is>
      </c>
      <c r="F5" s="32" t="inlineStr">
        <is>
          <t>進行中</t>
        </is>
      </c>
      <c r="G5" s="30" t="inlineStr"/>
      <c r="H5" s="31" t="inlineStr"/>
    </row>
    <row r="6" ht="20" customHeight="1">
      <c r="A6" s="33" t="inlineStr">
        <is>
          <t>4</t>
        </is>
      </c>
      <c r="B6" s="34" t="inlineStr">
        <is>
          <t>キー溝加工</t>
        </is>
      </c>
      <c r="C6" s="34" t="inlineStr">
        <is>
          <t>工具交換基準厳格化</t>
        </is>
      </c>
      <c r="D6" s="33" t="inlineStr">
        <is>
          <t>製造部</t>
        </is>
      </c>
      <c r="E6" s="33" t="inlineStr">
        <is>
          <t>2025-04</t>
        </is>
      </c>
      <c r="F6" s="32" t="inlineStr">
        <is>
          <t>進行中</t>
        </is>
      </c>
      <c r="G6" s="33" t="inlineStr"/>
      <c r="H6" s="34" t="inlineStr"/>
    </row>
    <row r="7" ht="20" customHeight="1">
      <c r="A7" s="30" t="inlineStr">
        <is>
          <t>5</t>
        </is>
      </c>
      <c r="B7" s="31" t="inlineStr">
        <is>
          <t>研削</t>
        </is>
      </c>
      <c r="C7" s="31" t="inlineStr">
        <is>
          <t>ドレスサイクル短縮</t>
        </is>
      </c>
      <c r="D7" s="30" t="inlineStr">
        <is>
          <t>製造部</t>
        </is>
      </c>
      <c r="E7" s="30" t="inlineStr">
        <is>
          <t>2025-04</t>
        </is>
      </c>
      <c r="F7" s="32" t="inlineStr">
        <is>
          <t>進行中</t>
        </is>
      </c>
      <c r="G7" s="30" t="inlineStr"/>
      <c r="H7" s="31" t="inlineStr"/>
    </row>
    <row r="8" ht="20" customHeight="1">
      <c r="A8" s="33" t="inlineStr">
        <is>
          <t>6</t>
        </is>
      </c>
      <c r="B8" s="34" t="inlineStr">
        <is>
          <t>研削</t>
        </is>
      </c>
      <c r="C8" s="34" t="inlineStr">
        <is>
          <t>砥石管理強化</t>
        </is>
      </c>
      <c r="D8" s="33" t="inlineStr">
        <is>
          <t>製造部</t>
        </is>
      </c>
      <c r="E8" s="33" t="inlineStr">
        <is>
          <t>2025-04</t>
        </is>
      </c>
      <c r="F8" s="32" t="inlineStr">
        <is>
          <t>進行中</t>
        </is>
      </c>
      <c r="G8" s="33" t="inlineStr"/>
      <c r="H8" s="34" t="inlineStr"/>
    </row>
    <row r="9" ht="20" customHeight="1">
      <c r="A9" s="30" t="inlineStr">
        <is>
          <t>7</t>
        </is>
      </c>
      <c r="B9" s="31" t="inlineStr">
        <is>
          <t>バランス試験</t>
        </is>
      </c>
      <c r="C9" s="31" t="inlineStr">
        <is>
          <t>加工精度管理</t>
        </is>
      </c>
      <c r="D9" s="30" t="inlineStr">
        <is>
          <t>品証部</t>
        </is>
      </c>
      <c r="E9" s="30" t="inlineStr">
        <is>
          <t>2025-04</t>
        </is>
      </c>
      <c r="F9" s="32" t="inlineStr">
        <is>
          <t>進行中</t>
        </is>
      </c>
      <c r="G9" s="30" t="inlineStr"/>
      <c r="H9" s="31" t="inlineStr"/>
    </row>
    <row r="10" ht="20" customHeight="1">
      <c r="A10" s="33" t="inlineStr">
        <is>
          <t>8</t>
        </is>
      </c>
      <c r="B10" s="34" t="inlineStr">
        <is>
          <t>防錆処理</t>
        </is>
      </c>
      <c r="C10" s="34" t="inlineStr">
        <is>
          <t>塗布量管理強化</t>
        </is>
      </c>
      <c r="D10" s="33" t="inlineStr">
        <is>
          <t>製造部</t>
        </is>
      </c>
      <c r="E10" s="33" t="inlineStr">
        <is>
          <t>2025-05</t>
        </is>
      </c>
      <c r="F10" s="32" t="inlineStr">
        <is>
          <t>進行中</t>
        </is>
      </c>
      <c r="G10" s="33" t="inlineStr"/>
      <c r="H10" s="3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